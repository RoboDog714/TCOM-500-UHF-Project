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oDog\Documents\School\Grad School\Mason\Fall_2025\"/>
    </mc:Choice>
  </mc:AlternateContent>
  <xr:revisionPtr revIDLastSave="0" documentId="13_ncr:1_{0AEC8B22-7EA8-43C9-9DCD-10FB641C2385}" xr6:coauthVersionLast="47" xr6:coauthVersionMax="47" xr10:uidLastSave="{00000000-0000-0000-0000-000000000000}"/>
  <bookViews>
    <workbookView xWindow="-120" yWindow="-120" windowWidth="29040" windowHeight="15840" xr2:uid="{9D294591-2725-44EA-9D70-B4E89E9C7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4" i="1"/>
  <c r="D24" i="1"/>
  <c r="E24" i="1"/>
  <c r="F24" i="1"/>
  <c r="A24" i="1"/>
  <c r="B26" i="1"/>
  <c r="C26" i="1"/>
  <c r="D26" i="1"/>
  <c r="E26" i="1"/>
  <c r="F26" i="1"/>
  <c r="A26" i="1"/>
  <c r="B18" i="1"/>
  <c r="C18" i="1"/>
  <c r="D18" i="1"/>
  <c r="E18" i="1"/>
  <c r="F18" i="1"/>
  <c r="A18" i="1"/>
  <c r="B13" i="1"/>
  <c r="C13" i="1"/>
  <c r="D13" i="1"/>
  <c r="E13" i="1"/>
  <c r="F13" i="1"/>
  <c r="A13" i="1"/>
  <c r="F9" i="1"/>
  <c r="B9" i="1"/>
  <c r="C9" i="1"/>
  <c r="D9" i="1"/>
  <c r="E9" i="1"/>
  <c r="A9" i="1"/>
</calcChain>
</file>

<file path=xl/sharedStrings.xml><?xml version="1.0" encoding="utf-8"?>
<sst xmlns="http://schemas.openxmlformats.org/spreadsheetml/2006/main" count="130" uniqueCount="73">
  <si>
    <t>Requirements</t>
  </si>
  <si>
    <t>Description</t>
  </si>
  <si>
    <t>Status</t>
  </si>
  <si>
    <t>Verification Status</t>
  </si>
  <si>
    <t>Verification Method</t>
  </si>
  <si>
    <t>1. Acquire hardware</t>
  </si>
  <si>
    <t>1.2 Software Defined Radio</t>
  </si>
  <si>
    <t>Comments</t>
  </si>
  <si>
    <t>1.3 UHF Antenna</t>
  </si>
  <si>
    <t>2. Install and run software</t>
  </si>
  <si>
    <t>2.2 GNU Radio</t>
  </si>
  <si>
    <t>2.1 PiOS</t>
  </si>
  <si>
    <t>2.3 SDRPlay</t>
  </si>
  <si>
    <t>2.4 TVHeadend</t>
  </si>
  <si>
    <t>3. Integration</t>
  </si>
  <si>
    <t>3.1 Receive UHF signal</t>
  </si>
  <si>
    <t>Complete</t>
  </si>
  <si>
    <t>In Work</t>
  </si>
  <si>
    <t>Not started</t>
  </si>
  <si>
    <t>Requires TVHeadend</t>
  </si>
  <si>
    <t>4. Documentation</t>
  </si>
  <si>
    <t>4.2 Wire flow diagram</t>
  </si>
  <si>
    <t>4.3 Demo video</t>
  </si>
  <si>
    <t>4.4 Process documentation</t>
  </si>
  <si>
    <t>4.1 Requirements Matrix</t>
  </si>
  <si>
    <t>N/A</t>
  </si>
  <si>
    <t>System test</t>
  </si>
  <si>
    <t>System demonstration</t>
  </si>
  <si>
    <t>Signal received via computer using same software setup as RasPi</t>
  </si>
  <si>
    <t>System Demonstration</t>
  </si>
  <si>
    <t>Not Started</t>
  </si>
  <si>
    <t>0. Key Milestones</t>
  </si>
  <si>
    <t>Delivery</t>
  </si>
  <si>
    <t>System Test</t>
  </si>
  <si>
    <t>Acquisition of all major hardware components</t>
  </si>
  <si>
    <t>Installation and execution of all major software components on RasPi</t>
  </si>
  <si>
    <t>Test of individual processes and links between software components</t>
  </si>
  <si>
    <t>Full execution of system chain - Receiving UHF signal in ATSC, convert ATSC data stream to transport stream, convert transport stream to mp4 format, display of mp4 format, observation from network connected device</t>
  </si>
  <si>
    <t>Delivery of all documentation required</t>
  </si>
  <si>
    <t>Delivery of full end to end system and documentation</t>
  </si>
  <si>
    <t>1.1 Single-board Computer</t>
  </si>
  <si>
    <t>Acquire Software Defined Radio (SDR) capable of receiving UHF satcom signals</t>
  </si>
  <si>
    <t>RSPdx-R2</t>
  </si>
  <si>
    <t>Acquire antenna that can receive UHF satcom signal</t>
  </si>
  <si>
    <t>SMA-W100RX2</t>
  </si>
  <si>
    <t>Base operating system for RP5 functionality</t>
  </si>
  <si>
    <t>Acquire Raspberry Pi 5 (RP5)</t>
  </si>
  <si>
    <t>Using PiSDR custom software image</t>
  </si>
  <si>
    <t>Installation of GNURadio Software onto RP5</t>
  </si>
  <si>
    <t>Installation of SDRPlay SDR software onto RP5</t>
  </si>
  <si>
    <t>Installation of TVHeadend on RP5</t>
  </si>
  <si>
    <t>Receive UHF satcom signal and view within SDRPlay software</t>
  </si>
  <si>
    <t>Block diagrams in work</t>
  </si>
  <si>
    <t>Convert transport stream into video format</t>
  </si>
  <si>
    <t>View mp4 from external device (such as a laptop or desktop) connected via Local Area Network (LAN)</t>
  </si>
  <si>
    <t>Confirm GNU radio system functionality</t>
  </si>
  <si>
    <t>Requires full GNU Radio scripts</t>
  </si>
  <si>
    <t>All components of system talking to each other</t>
  </si>
  <si>
    <t>Containerization of deployed RasPi Software components</t>
  </si>
  <si>
    <t>Creation of requirements matrix for tracking of milestones</t>
  </si>
  <si>
    <t>Creation of wire diagram to show data flow of system</t>
  </si>
  <si>
    <t>Demonstration of end-to-end system compatibility</t>
  </si>
  <si>
    <t>Requires fully functional end to end system</t>
  </si>
  <si>
    <t>Delivery of all text components and documentation</t>
  </si>
  <si>
    <t>3.2 Receive ATSC Transport stream</t>
  </si>
  <si>
    <t>Create GNU Radio receiver translation flow that converts received signal into transport stream</t>
  </si>
  <si>
    <t>Within GNU radio</t>
  </si>
  <si>
    <t>3.3 Convert transport stream into video format</t>
  </si>
  <si>
    <t>3.4 View mp4 from external device</t>
  </si>
  <si>
    <t>3.5 View data stream translation to mp4 from UHF signal</t>
  </si>
  <si>
    <t>3.6 End to End system function</t>
  </si>
  <si>
    <t>3.7 Docker Container</t>
  </si>
  <si>
    <t>Using PiSDR custom software image; primarily for troubleshooting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</si>
</sst>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8B28-9CDB-4034-B325-52E18977198D}">
  <dimension ref="A1:F38"/>
  <sheetViews>
    <sheetView tabSelected="1" topLeftCell="A20" workbookViewId="0">
      <selection activeCell="J21" sqref="J21"/>
    </sheetView>
  </sheetViews>
  <sheetFormatPr defaultRowHeight="15" x14ac:dyDescent="0.25"/>
  <cols>
    <col min="1" max="1" width="28.140625" customWidth="1"/>
    <col min="2" max="2" width="33.5703125" customWidth="1"/>
    <col min="3" max="3" width="23" customWidth="1"/>
    <col min="4" max="4" width="22.42578125" customWidth="1"/>
    <col min="5" max="5" width="23" customWidth="1"/>
    <col min="6" max="6" width="34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5" t="s">
        <v>7</v>
      </c>
    </row>
    <row r="2" spans="1:6" ht="15.75" thickBot="1" x14ac:dyDescent="0.3">
      <c r="A2" s="6"/>
      <c r="B2" s="6"/>
      <c r="C2" s="6"/>
      <c r="D2" s="6"/>
      <c r="E2" s="6"/>
      <c r="F2" s="6"/>
    </row>
    <row r="3" spans="1:6" ht="30.75" thickTop="1" x14ac:dyDescent="0.25">
      <c r="A3" s="2" t="s">
        <v>31</v>
      </c>
      <c r="B3" s="2" t="s">
        <v>39</v>
      </c>
      <c r="C3" s="2" t="s">
        <v>17</v>
      </c>
      <c r="D3" s="2" t="s">
        <v>32</v>
      </c>
      <c r="E3" s="2" t="s">
        <v>17</v>
      </c>
      <c r="F3" s="2"/>
    </row>
    <row r="4" spans="1:6" ht="30" x14ac:dyDescent="0.25">
      <c r="A4" s="2" t="s">
        <v>5</v>
      </c>
      <c r="B4" s="2" t="s">
        <v>34</v>
      </c>
      <c r="C4" s="2" t="s">
        <v>16</v>
      </c>
      <c r="D4" s="2" t="s">
        <v>32</v>
      </c>
      <c r="E4" s="2" t="s">
        <v>16</v>
      </c>
      <c r="F4" s="2"/>
    </row>
    <row r="5" spans="1:6" ht="45" x14ac:dyDescent="0.25">
      <c r="A5" s="2" t="s">
        <v>9</v>
      </c>
      <c r="B5" s="2" t="s">
        <v>35</v>
      </c>
      <c r="C5" s="2" t="s">
        <v>17</v>
      </c>
      <c r="D5" s="2" t="s">
        <v>33</v>
      </c>
      <c r="E5" s="2" t="s">
        <v>17</v>
      </c>
      <c r="F5" s="2"/>
    </row>
    <row r="6" spans="1:6" ht="30" x14ac:dyDescent="0.25">
      <c r="A6" s="2" t="s">
        <v>14</v>
      </c>
      <c r="B6" s="2" t="s">
        <v>36</v>
      </c>
      <c r="C6" s="2" t="s">
        <v>17</v>
      </c>
      <c r="D6" s="2" t="s">
        <v>29</v>
      </c>
      <c r="E6" s="2" t="s">
        <v>30</v>
      </c>
      <c r="F6" s="2"/>
    </row>
    <row r="7" spans="1:6" ht="105" x14ac:dyDescent="0.25">
      <c r="A7" s="2" t="s">
        <v>70</v>
      </c>
      <c r="B7" s="2" t="s">
        <v>37</v>
      </c>
      <c r="C7" s="2" t="s">
        <v>30</v>
      </c>
      <c r="D7" s="2" t="s">
        <v>29</v>
      </c>
      <c r="E7" s="2" t="s">
        <v>30</v>
      </c>
      <c r="F7" s="2" t="s">
        <v>57</v>
      </c>
    </row>
    <row r="8" spans="1:6" ht="30.75" thickBot="1" x14ac:dyDescent="0.3">
      <c r="A8" s="2" t="s">
        <v>20</v>
      </c>
      <c r="B8" s="2" t="s">
        <v>38</v>
      </c>
      <c r="C8" s="2" t="s">
        <v>17</v>
      </c>
      <c r="D8" s="2" t="s">
        <v>32</v>
      </c>
      <c r="E8" s="2" t="s">
        <v>30</v>
      </c>
      <c r="F8" s="2"/>
    </row>
    <row r="9" spans="1:6" s="4" customFormat="1" ht="31.5" thickTop="1" thickBot="1" x14ac:dyDescent="0.3">
      <c r="A9" s="3" t="str">
        <f>A4</f>
        <v>1. Acquire hardware</v>
      </c>
      <c r="B9" s="3" t="str">
        <f t="shared" ref="B9:E9" si="0">B4</f>
        <v>Acquisition of all major hardware components</v>
      </c>
      <c r="C9" s="3" t="str">
        <f t="shared" si="0"/>
        <v>Complete</v>
      </c>
      <c r="D9" s="3" t="str">
        <f t="shared" si="0"/>
        <v>Delivery</v>
      </c>
      <c r="E9" s="3" t="str">
        <f t="shared" si="0"/>
        <v>Complete</v>
      </c>
      <c r="F9" s="3">
        <f>F4</f>
        <v>0</v>
      </c>
    </row>
    <row r="10" spans="1:6" ht="15.75" thickTop="1" x14ac:dyDescent="0.25">
      <c r="A10" s="1" t="s">
        <v>40</v>
      </c>
      <c r="B10" s="1" t="s">
        <v>46</v>
      </c>
      <c r="C10" s="1" t="s">
        <v>16</v>
      </c>
      <c r="D10" s="1" t="s">
        <v>32</v>
      </c>
      <c r="E10" s="1" t="s">
        <v>16</v>
      </c>
      <c r="F10" s="1"/>
    </row>
    <row r="11" spans="1:6" ht="45" x14ac:dyDescent="0.25">
      <c r="A11" s="1" t="s">
        <v>6</v>
      </c>
      <c r="B11" s="1" t="s">
        <v>41</v>
      </c>
      <c r="C11" s="1" t="s">
        <v>16</v>
      </c>
      <c r="D11" s="1" t="s">
        <v>32</v>
      </c>
      <c r="E11" s="1" t="s">
        <v>16</v>
      </c>
      <c r="F11" s="1" t="s">
        <v>42</v>
      </c>
    </row>
    <row r="12" spans="1:6" ht="30.75" thickBot="1" x14ac:dyDescent="0.3">
      <c r="A12" s="1" t="s">
        <v>8</v>
      </c>
      <c r="B12" s="1" t="s">
        <v>43</v>
      </c>
      <c r="C12" s="1" t="s">
        <v>16</v>
      </c>
      <c r="D12" s="1" t="s">
        <v>32</v>
      </c>
      <c r="E12" s="1" t="s">
        <v>16</v>
      </c>
      <c r="F12" s="1" t="s">
        <v>44</v>
      </c>
    </row>
    <row r="13" spans="1:6" s="4" customFormat="1" ht="31.5" thickTop="1" thickBot="1" x14ac:dyDescent="0.3">
      <c r="A13" s="3" t="str">
        <f>A5</f>
        <v>2. Install and run software</v>
      </c>
      <c r="B13" s="3" t="str">
        <f t="shared" ref="B13:F13" si="1">B5</f>
        <v>Installation and execution of all major software components on RasPi</v>
      </c>
      <c r="C13" s="3" t="str">
        <f t="shared" si="1"/>
        <v>In Work</v>
      </c>
      <c r="D13" s="3" t="str">
        <f t="shared" si="1"/>
        <v>System Test</v>
      </c>
      <c r="E13" s="3" t="str">
        <f t="shared" si="1"/>
        <v>In Work</v>
      </c>
      <c r="F13" s="3">
        <f t="shared" si="1"/>
        <v>0</v>
      </c>
    </row>
    <row r="14" spans="1:6" ht="30.75" thickTop="1" x14ac:dyDescent="0.25">
      <c r="A14" s="1" t="s">
        <v>11</v>
      </c>
      <c r="B14" s="1" t="s">
        <v>45</v>
      </c>
      <c r="C14" s="1" t="s">
        <v>16</v>
      </c>
      <c r="D14" s="1" t="s">
        <v>26</v>
      </c>
      <c r="E14" s="1" t="s">
        <v>16</v>
      </c>
      <c r="F14" s="1" t="s">
        <v>47</v>
      </c>
    </row>
    <row r="15" spans="1:6" ht="30" x14ac:dyDescent="0.25">
      <c r="A15" s="1" t="s">
        <v>10</v>
      </c>
      <c r="B15" s="1" t="s">
        <v>48</v>
      </c>
      <c r="C15" s="1" t="s">
        <v>16</v>
      </c>
      <c r="D15" s="1" t="s">
        <v>26</v>
      </c>
      <c r="E15" s="1" t="s">
        <v>16</v>
      </c>
      <c r="F15" s="1" t="s">
        <v>47</v>
      </c>
    </row>
    <row r="16" spans="1:6" ht="30" x14ac:dyDescent="0.25">
      <c r="A16" s="1" t="s">
        <v>12</v>
      </c>
      <c r="B16" s="1" t="s">
        <v>49</v>
      </c>
      <c r="C16" s="1" t="s">
        <v>16</v>
      </c>
      <c r="D16" s="1" t="s">
        <v>26</v>
      </c>
      <c r="E16" s="1" t="s">
        <v>16</v>
      </c>
      <c r="F16" s="1" t="s">
        <v>72</v>
      </c>
    </row>
    <row r="17" spans="1:6" ht="15.75" thickBot="1" x14ac:dyDescent="0.3">
      <c r="A17" s="1" t="s">
        <v>13</v>
      </c>
      <c r="B17" s="1" t="s">
        <v>50</v>
      </c>
      <c r="C17" s="1" t="s">
        <v>16</v>
      </c>
      <c r="D17" s="1" t="s">
        <v>26</v>
      </c>
      <c r="E17" s="1" t="s">
        <v>30</v>
      </c>
      <c r="F17" s="1"/>
    </row>
    <row r="18" spans="1:6" s="4" customFormat="1" ht="31.5" thickTop="1" thickBot="1" x14ac:dyDescent="0.3">
      <c r="A18" s="3" t="str">
        <f>A6</f>
        <v>3. Integration</v>
      </c>
      <c r="B18" s="3" t="str">
        <f t="shared" ref="B18:F18" si="2">B6</f>
        <v>Test of individual processes and links between software components</v>
      </c>
      <c r="C18" s="3" t="str">
        <f t="shared" si="2"/>
        <v>In Work</v>
      </c>
      <c r="D18" s="3" t="str">
        <f t="shared" si="2"/>
        <v>System Demonstration</v>
      </c>
      <c r="E18" s="3" t="str">
        <f t="shared" si="2"/>
        <v>Not Started</v>
      </c>
      <c r="F18" s="3">
        <f t="shared" si="2"/>
        <v>0</v>
      </c>
    </row>
    <row r="19" spans="1:6" ht="30.75" thickTop="1" x14ac:dyDescent="0.25">
      <c r="A19" s="1" t="s">
        <v>15</v>
      </c>
      <c r="B19" s="1" t="s">
        <v>51</v>
      </c>
      <c r="C19" s="1" t="s">
        <v>16</v>
      </c>
      <c r="D19" s="1" t="s">
        <v>27</v>
      </c>
      <c r="E19" s="1" t="s">
        <v>16</v>
      </c>
      <c r="F19" s="1" t="s">
        <v>28</v>
      </c>
    </row>
    <row r="20" spans="1:6" ht="60" x14ac:dyDescent="0.25">
      <c r="A20" s="1" t="s">
        <v>64</v>
      </c>
      <c r="B20" s="1" t="s">
        <v>65</v>
      </c>
      <c r="C20" s="1" t="s">
        <v>17</v>
      </c>
      <c r="D20" s="1" t="s">
        <v>27</v>
      </c>
      <c r="E20" s="1" t="s">
        <v>30</v>
      </c>
      <c r="F20" s="1" t="s">
        <v>52</v>
      </c>
    </row>
    <row r="21" spans="1:6" ht="30" x14ac:dyDescent="0.25">
      <c r="A21" s="1" t="s">
        <v>67</v>
      </c>
      <c r="B21" s="1" t="s">
        <v>53</v>
      </c>
      <c r="C21" s="1" t="s">
        <v>17</v>
      </c>
      <c r="D21" s="1" t="s">
        <v>27</v>
      </c>
      <c r="E21" s="1" t="s">
        <v>30</v>
      </c>
      <c r="F21" s="1" t="s">
        <v>66</v>
      </c>
    </row>
    <row r="22" spans="1:6" ht="45" x14ac:dyDescent="0.25">
      <c r="A22" s="1" t="s">
        <v>68</v>
      </c>
      <c r="B22" s="1" t="s">
        <v>54</v>
      </c>
      <c r="C22" s="1" t="s">
        <v>17</v>
      </c>
      <c r="D22" s="1" t="s">
        <v>27</v>
      </c>
      <c r="E22" s="1" t="s">
        <v>30</v>
      </c>
      <c r="F22" s="1" t="s">
        <v>19</v>
      </c>
    </row>
    <row r="23" spans="1:6" ht="45" x14ac:dyDescent="0.25">
      <c r="A23" s="1" t="s">
        <v>69</v>
      </c>
      <c r="B23" s="1" t="s">
        <v>55</v>
      </c>
      <c r="C23" s="1" t="s">
        <v>17</v>
      </c>
      <c r="D23" s="1" t="s">
        <v>27</v>
      </c>
      <c r="E23" s="1" t="s">
        <v>30</v>
      </c>
      <c r="F23" s="1" t="s">
        <v>56</v>
      </c>
    </row>
    <row r="24" spans="1:6" ht="91.5" customHeight="1" x14ac:dyDescent="0.25">
      <c r="A24" s="1" t="str">
        <f>A7</f>
        <v>3.6 End to End system function</v>
      </c>
      <c r="B24" s="1" t="str">
        <f t="shared" ref="B24:F24" si="3">B7</f>
        <v>Full execution of system chain - Receiving UHF signal in ATSC, convert ATSC data stream to transport stream, convert transport stream to mp4 format, display of mp4 format, observation from network connected device</v>
      </c>
      <c r="C24" s="1" t="str">
        <f t="shared" si="3"/>
        <v>Not Started</v>
      </c>
      <c r="D24" s="1" t="str">
        <f t="shared" si="3"/>
        <v>System Demonstration</v>
      </c>
      <c r="E24" s="1" t="str">
        <f t="shared" si="3"/>
        <v>Not Started</v>
      </c>
      <c r="F24" s="1" t="str">
        <f t="shared" si="3"/>
        <v>All components of system talking to each other</v>
      </c>
    </row>
    <row r="25" spans="1:6" ht="39" customHeight="1" thickBot="1" x14ac:dyDescent="0.3">
      <c r="A25" s="1" t="s">
        <v>71</v>
      </c>
      <c r="B25" s="1" t="s">
        <v>58</v>
      </c>
      <c r="C25" s="1" t="s">
        <v>17</v>
      </c>
      <c r="D25" s="1" t="s">
        <v>26</v>
      </c>
      <c r="E25" s="1" t="s">
        <v>30</v>
      </c>
      <c r="F25" s="1"/>
    </row>
    <row r="26" spans="1:6" s="4" customFormat="1" ht="31.5" customHeight="1" thickTop="1" thickBot="1" x14ac:dyDescent="0.3">
      <c r="A26" s="3" t="str">
        <f>A8</f>
        <v>4. Documentation</v>
      </c>
      <c r="B26" s="3" t="str">
        <f t="shared" ref="B26:F26" si="4">B8</f>
        <v>Delivery of all documentation required</v>
      </c>
      <c r="C26" s="3" t="str">
        <f t="shared" si="4"/>
        <v>In Work</v>
      </c>
      <c r="D26" s="3" t="str">
        <f t="shared" si="4"/>
        <v>Delivery</v>
      </c>
      <c r="E26" s="3" t="str">
        <f t="shared" si="4"/>
        <v>Not Started</v>
      </c>
      <c r="F26" s="3">
        <f t="shared" si="4"/>
        <v>0</v>
      </c>
    </row>
    <row r="27" spans="1:6" ht="30.75" thickTop="1" x14ac:dyDescent="0.25">
      <c r="A27" s="1" t="s">
        <v>24</v>
      </c>
      <c r="B27" s="1" t="s">
        <v>59</v>
      </c>
      <c r="C27" s="1" t="s">
        <v>16</v>
      </c>
      <c r="D27" s="1" t="s">
        <v>25</v>
      </c>
      <c r="E27" s="1"/>
      <c r="F27" s="1"/>
    </row>
    <row r="28" spans="1:6" ht="30" x14ac:dyDescent="0.25">
      <c r="A28" s="1" t="s">
        <v>21</v>
      </c>
      <c r="B28" s="1" t="s">
        <v>60</v>
      </c>
      <c r="C28" s="1" t="s">
        <v>16</v>
      </c>
      <c r="D28" s="1" t="s">
        <v>25</v>
      </c>
      <c r="E28" s="1"/>
      <c r="F28" s="1"/>
    </row>
    <row r="29" spans="1:6" ht="30" x14ac:dyDescent="0.25">
      <c r="A29" s="1" t="s">
        <v>22</v>
      </c>
      <c r="B29" s="1" t="s">
        <v>61</v>
      </c>
      <c r="C29" s="1" t="s">
        <v>18</v>
      </c>
      <c r="D29" s="1" t="s">
        <v>29</v>
      </c>
      <c r="E29" s="1" t="s">
        <v>30</v>
      </c>
      <c r="F29" s="1" t="s">
        <v>62</v>
      </c>
    </row>
    <row r="30" spans="1:6" ht="30" x14ac:dyDescent="0.25">
      <c r="A30" s="1" t="s">
        <v>23</v>
      </c>
      <c r="B30" s="1" t="s">
        <v>63</v>
      </c>
      <c r="C30" s="1" t="s">
        <v>17</v>
      </c>
      <c r="D30" s="1" t="s">
        <v>25</v>
      </c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</sheetData>
  <mergeCells count="6">
    <mergeCell ref="E1:E2"/>
    <mergeCell ref="F1:F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Devon C.</dc:creator>
  <cp:lastModifiedBy>Devon C.</cp:lastModifiedBy>
  <dcterms:created xsi:type="dcterms:W3CDTF">2025-12-11T00:18:10Z</dcterms:created>
  <dcterms:modified xsi:type="dcterms:W3CDTF">2025-12-11T04:16:45Z</dcterms:modified>
</cp:coreProperties>
</file>